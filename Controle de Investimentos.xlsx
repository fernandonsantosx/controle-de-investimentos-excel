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<sst xmlns="http://schemas.openxmlformats.org/spreadsheetml/2006/main" count="38" uniqueCount="38">
  <si>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CONTROLE DE INVESTIMENTOS &amp; SIMULADOR FINANCEIRO</t>
  </si>
  <si>
    <t xml:space="preserve">• Modelagem Financeira &amp; Projeção de Patrimônio • </t>
  </si>
  <si>
    <t xml:space="preserve">PARÂMETROS DE INVESTIMENTO (INPUTS)</t>
  </si>
  <si>
    <t xml:space="preserve">PATRIMÔNIO ACUMULADO</t>
  </si>
  <si>
    <t xml:space="preserve">TOTAL APORTADO</t>
  </si>
  <si>
    <t xml:space="preserve">LUCRO EM JUROS</t>
  </si>
  <si>
    <t xml:space="preserve">DIVIDENDOS MENSAIS</t>
  </si>
  <si>
    <t xml:space="preserve">Aporte Inicial</t>
  </si>
  <si>
    <t xml:space="preserve">Capital inicial disponível</t>
  </si>
  <si>
    <t xml:space="preserve">Aporte Mensal</t>
  </si>
  <si>
    <t xml:space="preserve">Investimento regular mensal</t>
  </si>
  <si>
    <t xml:space="preserve">Valor futuro projetado</t>
  </si>
  <si>
    <t xml:space="preserve">Capital desembolsado</t>
  </si>
  <si>
    <t xml:space="preserve">Juros compostos acumulados</t>
  </si>
  <si>
    <t xml:space="preserve">Renda mensal estimada (DY)</t>
  </si>
  <si>
    <t xml:space="preserve">Prazo (Anos)</t>
  </si>
  <si>
    <t xml:space="preserve">10 anos = 120 meses</t>
  </si>
  <si>
    <t xml:space="preserve">Taxa Rendimento (% a.m.)</t>
  </si>
  <si>
    <t xml:space="preserve">~10,7% ao ano (Juros)</t>
  </si>
  <si>
    <t xml:space="preserve">EFEITO BOLA DE NEVE (PROVENTOS &gt; APORTE)</t>
  </si>
  <si>
    <t xml:space="preserve">RENDA ANUAL EM DIVIDENDOS</t>
  </si>
  <si>
    <t xml:space="preserve">COBERTURA DO APORTE MENSAL</t>
  </si>
  <si>
    <t xml:space="preserve">Dividend Yield (% a.m.)</t>
  </si>
  <si>
    <t xml:space="preserve">~7,4% a.a. em proventos</t>
  </si>
  <si>
    <t xml:space="preserve">TABELA DE EVOLUÇÃO E PROJEÇÃO PATRIMONIAL MÊS A MÊS</t>
  </si>
  <si>
    <t xml:space="preserve">Mês</t>
  </si>
  <si>
    <t xml:space="preserve">Saldo Inicial</t>
  </si>
  <si>
    <t xml:space="preserve">Aporte</t>
  </si>
  <si>
    <t xml:space="preserve">Rendimento (Juros)</t>
  </si>
  <si>
    <t xml:space="preserve">Saldo Final Acumulado</t>
  </si>
  <si>
    <t xml:space="preserve">Total Aportado Acumulado</t>
  </si>
  <si>
    <t xml:space="preserve">Dividendos Estimados</t>
  </si>
  <si>
    <t xml:space="preserve">DOCUMENTAÇÃO DO PROJETO &amp; METODOLOGIA (DIO • GITHUB)</t>
  </si>
  <si>
    <t xml:space="preserve">• Juros Compostos: Projeção exponencial através de aportes recorrentes e reinvestimento integral dos rendimentos.</t>
  </si>
  <si>
    <t xml:space="preserve">• Efeito Bola de Neve: Ponto de inflexão em que os dividendos mensais passam a superar os aportes regulares do investidor.</t>
  </si>
  <si>
    <t xml:space="preserve">• Fórmulas Dinâmicas: Utiliza VF (Future Value), SE (IF), referências absolutas e tabela periódica progressiva.</t>
  </si>
  <si>
    <t xml:space="preserve">• Autonomia do Modelo: Qualquer alteração nos parâmetros (B6:C10) atualiza em tempo real os KPIs, a tabela e o gráfico.</t>
  </si>
  <si>
    <t xml:space="preserve">• Padrão Profissional: Formatação monetária BRL (R$), porcentagens (%), paleta verde esmeralda e layout executivo.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</si>
</sst>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"/>
    <numFmt numFmtId="167" formatCode="0.00%"/>
    <numFmt numFmtId="168" formatCode="0.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1F"/>
      <name val="Roboto"/>
      <family val="0"/>
      <charset val="1"/>
    </font>
    <font>
      <i val="true"/>
      <sz val="10"/>
      <color rgb="FF666666"/>
      <name val="Roboto"/>
      <family val="0"/>
      <charset val="1"/>
    </font>
    <font>
      <b val="true"/>
      <sz val="10"/>
      <color rgb="FFFFFFFF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10"/>
      <color theme="1"/>
      <name val="Roboto"/>
      <family val="0"/>
      <charset val="1"/>
    </font>
    <font>
      <b val="true"/>
      <sz val="10"/>
      <color rgb="FF0C4C19"/>
      <name val="Roboto"/>
      <family val="0"/>
      <charset val="1"/>
    </font>
    <font>
      <i val="true"/>
      <sz val="9"/>
      <color rgb="FF727272"/>
      <name val="Roboto"/>
      <family val="0"/>
      <charset val="1"/>
    </font>
    <font>
      <b val="true"/>
      <sz val="12"/>
      <color rgb="FF1B5E1F"/>
      <name val="Roboto"/>
      <family val="0"/>
      <charset val="1"/>
    </font>
    <font>
      <b val="true"/>
      <sz val="12"/>
      <color rgb="FF333333"/>
      <name val="Roboto"/>
      <family val="0"/>
      <charset val="1"/>
    </font>
    <font>
      <b val="true"/>
      <sz val="12"/>
      <color rgb="FF2D7C33"/>
      <name val="Roboto"/>
      <family val="0"/>
      <charset val="1"/>
    </font>
    <font>
      <i val="true"/>
      <sz val="8"/>
      <color rgb="FF727272"/>
      <name val="Roboto"/>
      <family val="0"/>
      <charset val="1"/>
    </font>
    <font>
      <b val="true"/>
      <sz val="10"/>
      <color rgb="FF1B5E1F"/>
      <name val="Roboto"/>
      <family val="0"/>
      <charset val="1"/>
    </font>
    <font>
      <b val="true"/>
      <sz val="11"/>
      <color rgb="FF1B5E1F"/>
      <name val="Roboto"/>
      <family val="0"/>
      <charset val="1"/>
    </font>
    <font>
      <sz val="9"/>
      <color theme="1"/>
      <name val="Roboto"/>
      <family val="0"/>
      <charset val="1"/>
    </font>
    <font>
      <sz val="9"/>
      <color rgb="FF263326"/>
      <name val="Roboto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B6939"/>
        <bgColor rgb="FF2D7C33"/>
      </patternFill>
    </fill>
    <fill>
      <patternFill patternType="solid">
        <fgColor rgb="FFF7FAF0"/>
        <bgColor rgb="FFFFFFFF"/>
      </patternFill>
    </fill>
    <fill>
      <patternFill patternType="solid">
        <fgColor rgb="FFFFFFFF"/>
        <bgColor rgb="FFF7FAF0"/>
      </patternFill>
    </fill>
    <fill>
      <patternFill patternType="solid">
        <fgColor rgb="FFD5E8CE"/>
        <bgColor rgb="FFD8E0D8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71796E"/>
      </left>
      <right style="thin">
        <color rgb="FF71796E"/>
      </right>
      <top style="thin">
        <color rgb="FF71796E"/>
      </top>
      <bottom style="thin">
        <color rgb="FFD8E0D8"/>
      </bottom>
      <diagonal/>
    </border>
    <border diagonalUp="false" diagonalDown="false">
      <left style="thin">
        <color rgb="FF71796E"/>
      </left>
      <right style="thin">
        <color rgb="FF71796E"/>
      </right>
      <top style="thin">
        <color rgb="FF71796E"/>
      </top>
      <bottom/>
      <diagonal/>
    </border>
    <border diagonalUp="false" diagonalDown="false">
      <left style="thin">
        <color rgb="FF71796E"/>
      </left>
      <right style="thin">
        <color rgb="FFD8E0D8"/>
      </right>
      <top style="thin">
        <color rgb="FFD8E0D8"/>
      </top>
      <bottom style="thin">
        <color rgb="FFD8E0D8"/>
      </bottom>
      <diagonal/>
    </border>
    <border diagonalUp="false" diagonalDown="false">
      <left style="thin">
        <color rgb="FFD8E0D8"/>
      </left>
      <right style="thin">
        <color rgb="FFD8E0D8"/>
      </right>
      <top style="thin">
        <color rgb="FFD8E0D8"/>
      </top>
      <bottom style="thin">
        <color rgb="FFD8E0D8"/>
      </bottom>
      <diagonal/>
    </border>
    <border diagonalUp="false" diagonalDown="false">
      <left style="thin">
        <color rgb="FFD8E0D8"/>
      </left>
      <right style="thin">
        <color rgb="FF71796E"/>
      </right>
      <top style="thin">
        <color rgb="FFD8E0D8"/>
      </top>
      <bottom style="thin">
        <color rgb="FFD8E0D8"/>
      </bottom>
      <diagonal/>
    </border>
    <border diagonalUp="false" diagonalDown="false">
      <left style="thin">
        <color rgb="FF71796E"/>
      </left>
      <right style="thin">
        <color rgb="FF71796E"/>
      </right>
      <top/>
      <bottom/>
      <diagonal/>
    </border>
    <border diagonalUp="false" diagonalDown="false">
      <left style="thin">
        <color rgb="FF71796E"/>
      </left>
      <right style="thin">
        <color rgb="FF71796E"/>
      </right>
      <top/>
      <bottom style="thin">
        <color rgb="FF71796E"/>
      </bottom>
      <diagonal/>
    </border>
    <border diagonalUp="false" diagonalDown="false">
      <left style="thin">
        <color rgb="FF71796E"/>
      </left>
      <right style="thin">
        <color rgb="FFD8E0D8"/>
      </right>
      <top style="thin">
        <color rgb="FFD8E0D8"/>
      </top>
      <bottom style="thin">
        <color rgb="FF71796E"/>
      </bottom>
      <diagonal/>
    </border>
    <border diagonalUp="false" diagonalDown="false">
      <left style="thin">
        <color rgb="FFD8E0D8"/>
      </left>
      <right style="thin">
        <color rgb="FFD8E0D8"/>
      </right>
      <top style="thin">
        <color rgb="FFD8E0D8"/>
      </top>
      <bottom style="thin">
        <color rgb="FF71796E"/>
      </bottom>
      <diagonal/>
    </border>
    <border diagonalUp="false" diagonalDown="false">
      <left style="thin">
        <color rgb="FFD8E0D8"/>
      </left>
      <right style="thin">
        <color rgb="FF71796E"/>
      </right>
      <top style="thin">
        <color rgb="FFD8E0D8"/>
      </top>
      <bottom style="thin">
        <color rgb="FF71796E"/>
      </bottom>
      <diagonal/>
    </border>
    <border diagonalUp="false" diagonalDown="false">
      <left style="thin">
        <color rgb="FF1B5E1F"/>
      </left>
      <right/>
      <top style="thin">
        <color rgb="FF1B5E1F"/>
      </top>
      <bottom/>
      <diagonal/>
    </border>
    <border diagonalUp="false" diagonalDown="false">
      <left/>
      <right/>
      <top style="thin">
        <color rgb="FF1B5E1F"/>
      </top>
      <bottom/>
      <diagonal/>
    </border>
    <border diagonalUp="false" diagonalDown="false">
      <left/>
      <right style="thin">
        <color rgb="FF1B5E1F"/>
      </right>
      <top style="thin">
        <color rgb="FF1B5E1F"/>
      </top>
      <bottom/>
      <diagonal/>
    </border>
    <border diagonalUp="false" diagonalDown="false">
      <left style="thin">
        <color rgb="FF1B5E1F"/>
      </left>
      <right style="thin">
        <color rgb="FFE5EAE5"/>
      </right>
      <top style="thin">
        <color rgb="FFD8E0D8"/>
      </top>
      <bottom style="thin">
        <color rgb="FFE5EAE5"/>
      </bottom>
      <diagonal/>
    </border>
    <border diagonalUp="false" diagonalDown="false">
      <left style="thin">
        <color rgb="FFE5EAE5"/>
      </left>
      <right style="thin">
        <color rgb="FFE5EAE5"/>
      </right>
      <top style="thin">
        <color rgb="FFD8E0D8"/>
      </top>
      <bottom style="thin">
        <color rgb="FFE5EAE5"/>
      </bottom>
      <diagonal/>
    </border>
    <border diagonalUp="false" diagonalDown="false">
      <left style="thin">
        <color rgb="FFE5EAE5"/>
      </left>
      <right style="thin">
        <color rgb="FF1B5E1F"/>
      </right>
      <top style="thin">
        <color rgb="FFD8E0D8"/>
      </top>
      <bottom style="thin">
        <color rgb="FFE5EAE5"/>
      </bottom>
      <diagonal/>
    </border>
    <border diagonalUp="false" diagonalDown="false">
      <left style="thin">
        <color rgb="FF1B5E1F"/>
      </left>
      <right style="thin">
        <color rgb="FFE5EAE5"/>
      </right>
      <top style="thin">
        <color rgb="FFE5EAE5"/>
      </top>
      <bottom style="thin">
        <color rgb="FFE5EAE5"/>
      </bottom>
      <diagonal/>
    </border>
    <border diagonalUp="false" diagonalDown="false">
      <left style="thin">
        <color rgb="FFE5EAE5"/>
      </left>
      <right style="thin">
        <color rgb="FFE5EAE5"/>
      </right>
      <top style="thin">
        <color rgb="FFE5EAE5"/>
      </top>
      <bottom style="thin">
        <color rgb="FFE5EAE5"/>
      </bottom>
      <diagonal/>
    </border>
    <border diagonalUp="false" diagonalDown="false">
      <left style="thin">
        <color rgb="FFE5EAE5"/>
      </left>
      <right style="thin">
        <color rgb="FF1B5E1F"/>
      </right>
      <top style="thin">
        <color rgb="FFE5EAE5"/>
      </top>
      <bottom style="thin">
        <color rgb="FFE5EAE5"/>
      </bottom>
      <diagonal/>
    </border>
    <border diagonalUp="false" diagonalDown="false">
      <left style="thin">
        <color rgb="FF1B5E1F"/>
      </left>
      <right style="thin">
        <color rgb="FFE5EAE5"/>
      </right>
      <top style="thin">
        <color rgb="FFE5EAE5"/>
      </top>
      <bottom style="thin">
        <color rgb="FF1B5E1F"/>
      </bottom>
      <diagonal/>
    </border>
    <border diagonalUp="false" diagonalDown="false">
      <left style="thin">
        <color rgb="FFE5EAE5"/>
      </left>
      <right style="thin">
        <color rgb="FFE5EAE5"/>
      </right>
      <top style="thin">
        <color rgb="FFE5EAE5"/>
      </top>
      <bottom style="thin">
        <color rgb="FF1B5E1F"/>
      </bottom>
      <diagonal/>
    </border>
    <border diagonalUp="false" diagonalDown="false">
      <left style="thin">
        <color rgb="FFE5EAE5"/>
      </left>
      <right style="thin">
        <color rgb="FF1B5E1F"/>
      </right>
      <top style="thin">
        <color rgb="FFE5EAE5"/>
      </top>
      <bottom style="thin">
        <color rgb="FF1B5E1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693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1F"/>
      <rgbColor rgb="FF000080"/>
      <rgbColor rgb="FF727272"/>
      <rgbColor rgb="FF800080"/>
      <rgbColor rgb="FF3B6939"/>
      <rgbColor rgb="FFB7B7B7"/>
      <rgbColor rgb="FF757575"/>
      <rgbColor rgb="FF9999FF"/>
      <rgbColor rgb="FF993366"/>
      <rgbColor rgb="FFF7FAF0"/>
      <rgbColor rgb="FFE5EAE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E0D8"/>
      <rgbColor rgb="FFD5E8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1796E"/>
      <rgbColor rgb="FF1A1A1A"/>
      <rgbColor rgb="FF2D7C33"/>
      <rgbColor rgb="FF0C4C19"/>
      <rgbColor rgb="FF26332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Evolução Patrimonial: Total Aportado vs. 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Página1!$G$13</c:f>
              <c:strCache>
                <c:ptCount val="1"/>
                <c:pt idx="0">
                  <c:v>Total Aportado Acumulado</c:v>
                </c:pt>
              </c:strCache>
            </c:strRef>
          </c:tx>
          <c:spPr>
            <a:solidFill>
              <a:srgbClr val="71796E"/>
            </a:solidFill>
            <a:ln w="12600">
              <a:solidFill>
                <a:srgbClr val="7179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Página1!$B$14:$B$43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Página1!$G$14:$G$43</c:f>
              <c:numCache>
                <c:formatCode>"R$ "#,##0.00</c:formatCode>
                <c:ptCount val="30"/>
                <c:pt idx="0">
                  <c:v>6000</c:v>
                </c:pt>
                <c:pt idx="1">
                  <c:v>7000</c:v>
                </c:pt>
                <c:pt idx="2">
                  <c:v>8000</c:v>
                </c:pt>
                <c:pt idx="3">
                  <c:v>9000</c:v>
                </c:pt>
                <c:pt idx="4">
                  <c:v>10000</c:v>
                </c:pt>
                <c:pt idx="5">
                  <c:v>11000</c:v>
                </c:pt>
                <c:pt idx="6">
                  <c:v>12000</c:v>
                </c:pt>
                <c:pt idx="7">
                  <c:v>13000</c:v>
                </c:pt>
                <c:pt idx="8">
                  <c:v>14000</c:v>
                </c:pt>
                <c:pt idx="9">
                  <c:v>15000</c:v>
                </c:pt>
                <c:pt idx="10">
                  <c:v>16000</c:v>
                </c:pt>
                <c:pt idx="11">
                  <c:v>17000</c:v>
                </c:pt>
                <c:pt idx="12">
                  <c:v>18000</c:v>
                </c:pt>
                <c:pt idx="13">
                  <c:v>19000</c:v>
                </c:pt>
                <c:pt idx="14">
                  <c:v>20000</c:v>
                </c:pt>
                <c:pt idx="15">
                  <c:v>21000</c:v>
                </c:pt>
                <c:pt idx="16">
                  <c:v>22000</c:v>
                </c:pt>
                <c:pt idx="17">
                  <c:v>23000</c:v>
                </c:pt>
                <c:pt idx="18">
                  <c:v>24000</c:v>
                </c:pt>
                <c:pt idx="19">
                  <c:v>25000</c:v>
                </c:pt>
                <c:pt idx="20">
                  <c:v>26000</c:v>
                </c:pt>
                <c:pt idx="21">
                  <c:v>27000</c:v>
                </c:pt>
                <c:pt idx="22">
                  <c:v>28000</c:v>
                </c:pt>
                <c:pt idx="23">
                  <c:v>29000</c:v>
                </c:pt>
                <c:pt idx="24">
                  <c:v>30000</c:v>
                </c:pt>
                <c:pt idx="25">
                  <c:v>31000</c:v>
                </c:pt>
                <c:pt idx="26">
                  <c:v>32000</c:v>
                </c:pt>
                <c:pt idx="27">
                  <c:v>33000</c:v>
                </c:pt>
                <c:pt idx="28">
                  <c:v>34000</c:v>
                </c:pt>
                <c:pt idx="29">
                  <c:v>35000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Página1!$F$13</c:f>
              <c:strCache>
                <c:ptCount val="1"/>
                <c:pt idx="0">
                  <c:v>Saldo Final Acumulado</c:v>
                </c:pt>
              </c:strCache>
            </c:strRef>
          </c:tx>
          <c:spPr>
            <a:solidFill>
              <a:srgbClr val="1B5E1F"/>
            </a:solidFill>
            <a:ln w="12600">
              <a:solidFill>
                <a:srgbClr val="1B5E1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Página1!$B$14:$B$43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Página1!$F$14:$F$43</c:f>
              <c:numCache>
                <c:formatCode>"R$ "#,##0.00</c:formatCode>
                <c:ptCount val="30"/>
                <c:pt idx="0">
                  <c:v>6051</c:v>
                </c:pt>
                <c:pt idx="1">
                  <c:v>7110.9335</c:v>
                </c:pt>
                <c:pt idx="2">
                  <c:v>8179.87643475</c:v>
                </c:pt>
                <c:pt idx="3">
                  <c:v>9257.90538444538</c:v>
                </c:pt>
                <c:pt idx="4">
                  <c:v>10345.0975802132</c:v>
                </c:pt>
                <c:pt idx="5">
                  <c:v>11441.530909645</c:v>
                </c:pt>
                <c:pt idx="6">
                  <c:v>12547.283922377</c:v>
                </c:pt>
                <c:pt idx="7">
                  <c:v>13662.4358357172</c:v>
                </c:pt>
                <c:pt idx="8">
                  <c:v>14787.0665403208</c:v>
                </c:pt>
                <c:pt idx="9">
                  <c:v>15921.2566059135</c:v>
                </c:pt>
                <c:pt idx="10">
                  <c:v>17065.0872870637</c:v>
                </c:pt>
                <c:pt idx="11">
                  <c:v>18218.6405290038</c:v>
                </c:pt>
                <c:pt idx="12">
                  <c:v>19381.9989735003</c:v>
                </c:pt>
                <c:pt idx="13">
                  <c:v>20555.2459647751</c:v>
                </c:pt>
                <c:pt idx="14">
                  <c:v>21738.4655554757</c:v>
                </c:pt>
                <c:pt idx="15">
                  <c:v>22931.7425126972</c:v>
                </c:pt>
                <c:pt idx="16">
                  <c:v>24135.1623240551</c:v>
                </c:pt>
                <c:pt idx="17">
                  <c:v>25348.8112038096</c:v>
                </c:pt>
                <c:pt idx="18">
                  <c:v>26572.776099042</c:v>
                </c:pt>
                <c:pt idx="19">
                  <c:v>27807.1446958838</c:v>
                </c:pt>
                <c:pt idx="20">
                  <c:v>29052.0054257989</c:v>
                </c:pt>
                <c:pt idx="21">
                  <c:v>30307.4474719181</c:v>
                </c:pt>
                <c:pt idx="22">
                  <c:v>31573.5607754294</c:v>
                </c:pt>
                <c:pt idx="23">
                  <c:v>32850.4360420206</c:v>
                </c:pt>
                <c:pt idx="24">
                  <c:v>34138.1647483778</c:v>
                </c:pt>
                <c:pt idx="25">
                  <c:v>35436.839148739</c:v>
                </c:pt>
                <c:pt idx="26">
                  <c:v>36746.5522815033</c:v>
                </c:pt>
                <c:pt idx="27">
                  <c:v>38067.397975896</c:v>
                </c:pt>
                <c:pt idx="28">
                  <c:v>39399.4708586912</c:v>
                </c:pt>
                <c:pt idx="29">
                  <c:v>40742.86636099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617356"/>
        <c:axId val="65761234"/>
      </c:lineChart>
      <c:catAx>
        <c:axId val="14617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Meses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5761234"/>
        <c:crosses val="autoZero"/>
        <c:auto val="1"/>
        <c:lblAlgn val="ctr"/>
        <c:lblOffset val="100"/>
        <c:noMultiLvlLbl val="0"/>
      </c:catAx>
      <c:valAx>
        <c:axId val="6576123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Valor Acumulado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46173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12</xdr:row>
      <xdr:rowOff>0</xdr:rowOff>
    </xdr:from>
    <xdr:to>
      <xdr:col>15</xdr:col>
      <xdr:colOff>753840</xdr:colOff>
      <xdr:row>27</xdr:row>
      <xdr:rowOff>47520</xdr:rowOff>
    </xdr:to>
    <xdr:graphicFrame>
      <xdr:nvGraphicFramePr>
        <xdr:cNvPr id="1" name="Chart 1"/>
        <xdr:cNvGraphicFramePr/>
      </xdr:nvGraphicFramePr>
      <xdr:xfrm>
        <a:off x="15413400" y="2420640"/>
        <a:ext cx="60955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B13:H43" headerRowCount="1" totalsRowCount="0" totalsRowShown="0">
  <tableColumns count="7">
    <tableColumn id="1" name="Mês"/>
    <tableColumn id="2" name="Saldo Inicial"/>
    <tableColumn id="3" name="Aporte"/>
    <tableColumn id="4" name="Rendimento (Juros)"/>
    <tableColumn id="5" name="Saldo Final Acumulado"/>
    <tableColumn id="6" name="Total Aportado Acumulado"/>
    <tableColumn id="7" name="Dividendos Estimado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P43"/>
  <sheetViews>
    <sheetView showFormulas="false" showGridLines="fals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13" activeCellId="0" sqref="G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25"/>
    <col collapsed="false" customWidth="true" hidden="false" outlineLevel="0" max="2" min="2" style="0" width="65.38"/>
    <col collapsed="false" customWidth="true" hidden="false" outlineLevel="0" max="3" min="3" style="0" width="13.81"/>
    <col collapsed="false" customWidth="true" hidden="false" outlineLevel="0" max="4" min="4" style="0" width="19"/>
    <col collapsed="false" customWidth="true" hidden="false" outlineLevel="0" max="5" min="5" style="0" width="21.32"/>
    <col collapsed="false" customWidth="true" hidden="false" outlineLevel="0" max="6" min="6" style="0" width="24.39"/>
    <col collapsed="false" customWidth="true" hidden="false" outlineLevel="0" max="7" min="7" style="0" width="28.42"/>
    <col collapsed="false" customWidth="true" hidden="false" outlineLevel="0" max="8" min="8" style="0" width="22.75"/>
    <col collapsed="false" customWidth="true" hidden="false" outlineLevel="0" max="9" min="9" style="0" width="20.35"/>
  </cols>
  <sheetData>
    <row r="2" customFormat="false" ht="17.35" hidden="false" customHeight="false" outlineLevel="0" collapsed="false">
      <c r="B2" s="1" t="s">
        <v>0</v>
      </c>
      <c r="C2" s="1"/>
      <c r="D2" s="1"/>
    </row>
    <row r="3" customFormat="false" ht="15.75" hidden="false" customHeight="false" outlineLevel="0" collapsed="false">
      <c r="B3" s="2" t="s">
        <v>1</v>
      </c>
      <c r="C3" s="2"/>
      <c r="D3" s="2"/>
    </row>
    <row r="5" customFormat="false" ht="15.75" hidden="false" customHeight="false" outlineLevel="0" collapsed="false">
      <c r="B5" s="3" t="s">
        <v>2</v>
      </c>
      <c r="C5" s="3"/>
      <c r="D5" s="3"/>
      <c r="F5" s="4" t="s">
        <v>3</v>
      </c>
      <c r="G5" s="4"/>
      <c r="H5" s="4" t="s">
        <v>4</v>
      </c>
      <c r="I5" s="4" t="s">
        <v>5</v>
      </c>
      <c r="J5" s="4" t="s">
        <v>6</v>
      </c>
      <c r="K5" s="4"/>
    </row>
    <row r="6" customFormat="false" ht="15.75" hidden="false" customHeight="false" outlineLevel="0" collapsed="false">
      <c r="B6" s="5" t="s">
        <v>7</v>
      </c>
      <c r="C6" s="6" t="n">
        <v>5000</v>
      </c>
      <c r="D6" s="7" t="s">
        <v>8</v>
      </c>
      <c r="F6" s="8" t="n">
        <f aca="false">FV(C9, C8*12, -C7, -C6)</f>
        <v>221014.1419</v>
      </c>
      <c r="G6" s="8"/>
      <c r="H6" s="9" t="n">
        <f aca="false">C6+(C7*C8*12)</f>
        <v>125000</v>
      </c>
      <c r="I6" s="10" t="n">
        <f aca="false">F6-H6</f>
        <v>96014.14186</v>
      </c>
      <c r="J6" s="8" t="n">
        <f aca="false">F6*C10</f>
        <v>1326.084851</v>
      </c>
      <c r="K6" s="8"/>
    </row>
    <row r="7" customFormat="false" ht="15.75" hidden="false" customHeight="false" outlineLevel="0" collapsed="false">
      <c r="B7" s="5" t="s">
        <v>9</v>
      </c>
      <c r="C7" s="6" t="n">
        <v>1000</v>
      </c>
      <c r="D7" s="7" t="s">
        <v>10</v>
      </c>
      <c r="F7" s="11" t="s">
        <v>11</v>
      </c>
      <c r="G7" s="11"/>
      <c r="H7" s="11" t="s">
        <v>12</v>
      </c>
      <c r="I7" s="11" t="s">
        <v>13</v>
      </c>
      <c r="J7" s="11" t="s">
        <v>14</v>
      </c>
      <c r="K7" s="11"/>
    </row>
    <row r="8" customFormat="false" ht="15.75" hidden="false" customHeight="false" outlineLevel="0" collapsed="false">
      <c r="B8" s="5" t="s">
        <v>15</v>
      </c>
      <c r="C8" s="12" t="n">
        <v>10</v>
      </c>
      <c r="D8" s="7" t="s">
        <v>16</v>
      </c>
    </row>
    <row r="9" customFormat="false" ht="15.75" hidden="false" customHeight="false" outlineLevel="0" collapsed="false">
      <c r="B9" s="5" t="s">
        <v>17</v>
      </c>
      <c r="C9" s="13" t="n">
        <v>0.0085</v>
      </c>
      <c r="D9" s="7" t="s">
        <v>18</v>
      </c>
      <c r="F9" s="4" t="s">
        <v>19</v>
      </c>
      <c r="G9" s="4"/>
      <c r="H9" s="4" t="s">
        <v>20</v>
      </c>
      <c r="I9" s="4"/>
      <c r="J9" s="4" t="s">
        <v>21</v>
      </c>
      <c r="K9" s="4"/>
    </row>
    <row r="10" customFormat="false" ht="15.75" hidden="false" customHeight="false" outlineLevel="0" collapsed="false">
      <c r="B10" s="14" t="s">
        <v>22</v>
      </c>
      <c r="C10" s="15" t="n">
        <v>0.006</v>
      </c>
      <c r="D10" s="16" t="s">
        <v>23</v>
      </c>
      <c r="F10" s="17" t="str">
        <f aca="false">IF(J6&gt;=C7, "ATIVADO! (Proventos &gt; Aporte)", "EM FORMAÇÃO")</f>
        <v>ATIVADO! (Proventos &gt; Aporte)</v>
      </c>
      <c r="G10" s="17"/>
      <c r="H10" s="18" t="n">
        <f aca="false">J6*12</f>
        <v>15913.01821</v>
      </c>
      <c r="I10" s="18"/>
      <c r="J10" s="19" t="n">
        <f aca="false">J6/C7</f>
        <v>1.326084851</v>
      </c>
      <c r="K10" s="19"/>
    </row>
    <row r="12" customFormat="false" ht="15.75" hidden="false" customHeight="false" outlineLevel="0" collapsed="false">
      <c r="B12" s="20" t="s">
        <v>24</v>
      </c>
    </row>
    <row r="13" customFormat="false" ht="15.75" hidden="false" customHeight="false" outlineLevel="0" collapsed="false">
      <c r="B13" s="21" t="s">
        <v>25</v>
      </c>
      <c r="C13" s="22" t="s">
        <v>26</v>
      </c>
      <c r="D13" s="22" t="s">
        <v>27</v>
      </c>
      <c r="E13" s="22" t="s">
        <v>28</v>
      </c>
      <c r="F13" s="22" t="s">
        <v>29</v>
      </c>
      <c r="G13" s="22" t="s">
        <v>30</v>
      </c>
      <c r="H13" s="23" t="s">
        <v>31</v>
      </c>
    </row>
    <row r="14" customFormat="false" ht="15.75" hidden="false" customHeight="false" outlineLevel="0" collapsed="false">
      <c r="B14" s="24" t="n">
        <v>1</v>
      </c>
      <c r="C14" s="25" t="n">
        <f aca="false">$C$6</f>
        <v>5000</v>
      </c>
      <c r="D14" s="25" t="n">
        <f aca="false">$C$7</f>
        <v>1000</v>
      </c>
      <c r="E14" s="25" t="n">
        <f aca="false">(C14+D14)*$C$9</f>
        <v>51</v>
      </c>
      <c r="F14" s="25" t="n">
        <f aca="false">C14+D14+E14</f>
        <v>6051</v>
      </c>
      <c r="G14" s="25" t="n">
        <f aca="false">$C$6+(B14*$C$7)</f>
        <v>6000</v>
      </c>
      <c r="H14" s="26" t="n">
        <f aca="false">F14*$C$10</f>
        <v>36.306</v>
      </c>
    </row>
    <row r="15" customFormat="false" ht="15.75" hidden="false" customHeight="false" outlineLevel="0" collapsed="false">
      <c r="B15" s="27" t="n">
        <v>2</v>
      </c>
      <c r="C15" s="28" t="n">
        <f aca="false">F14</f>
        <v>6051</v>
      </c>
      <c r="D15" s="28" t="n">
        <f aca="false">$C$7</f>
        <v>1000</v>
      </c>
      <c r="E15" s="28" t="n">
        <f aca="false">(C15+D15)*$C$9</f>
        <v>59.9335</v>
      </c>
      <c r="F15" s="28" t="n">
        <f aca="false">C15+D15+E15</f>
        <v>7110.9335</v>
      </c>
      <c r="G15" s="28" t="n">
        <f aca="false">$C$6+(B15*$C$7)</f>
        <v>7000</v>
      </c>
      <c r="H15" s="29" t="n">
        <f aca="false">F15*$C$10</f>
        <v>42.665601</v>
      </c>
    </row>
    <row r="16" customFormat="false" ht="15.75" hidden="false" customHeight="false" outlineLevel="0" collapsed="false">
      <c r="B16" s="27" t="n">
        <v>3</v>
      </c>
      <c r="C16" s="28" t="n">
        <f aca="false">F15</f>
        <v>7110.9335</v>
      </c>
      <c r="D16" s="28" t="n">
        <f aca="false">$C$7</f>
        <v>1000</v>
      </c>
      <c r="E16" s="28" t="n">
        <f aca="false">(C16+D16)*$C$9</f>
        <v>68.94293475</v>
      </c>
      <c r="F16" s="28" t="n">
        <f aca="false">C16+D16+E16</f>
        <v>8179.87643475</v>
      </c>
      <c r="G16" s="28" t="n">
        <f aca="false">$C$6+(B16*$C$7)</f>
        <v>8000</v>
      </c>
      <c r="H16" s="29" t="n">
        <f aca="false">F16*$C$10</f>
        <v>49.0792586085</v>
      </c>
    </row>
    <row r="17" customFormat="false" ht="15.75" hidden="false" customHeight="false" outlineLevel="0" collapsed="false">
      <c r="B17" s="27" t="n">
        <v>4</v>
      </c>
      <c r="C17" s="28" t="n">
        <f aca="false">F16</f>
        <v>8179.87643475</v>
      </c>
      <c r="D17" s="28" t="n">
        <f aca="false">$C$7</f>
        <v>1000</v>
      </c>
      <c r="E17" s="28" t="n">
        <f aca="false">(C17+D17)*$C$9</f>
        <v>78.028949695375</v>
      </c>
      <c r="F17" s="28" t="n">
        <f aca="false">C17+D17+E17</f>
        <v>9257.90538444538</v>
      </c>
      <c r="G17" s="28" t="n">
        <f aca="false">$C$6+(B17*$C$7)</f>
        <v>9000</v>
      </c>
      <c r="H17" s="29" t="n">
        <f aca="false">F17*$C$10</f>
        <v>55.5474323066723</v>
      </c>
    </row>
    <row r="18" customFormat="false" ht="15.75" hidden="false" customHeight="false" outlineLevel="0" collapsed="false">
      <c r="B18" s="27" t="n">
        <v>5</v>
      </c>
      <c r="C18" s="28" t="n">
        <f aca="false">F17</f>
        <v>9257.90538444538</v>
      </c>
      <c r="D18" s="28" t="n">
        <f aca="false">$C$7</f>
        <v>1000</v>
      </c>
      <c r="E18" s="28" t="n">
        <f aca="false">(C18+D18)*$C$9</f>
        <v>87.1921957677857</v>
      </c>
      <c r="F18" s="28" t="n">
        <f aca="false">C18+D18+E18</f>
        <v>10345.0975802132</v>
      </c>
      <c r="G18" s="28" t="n">
        <f aca="false">$C$6+(B18*$C$7)</f>
        <v>10000</v>
      </c>
      <c r="H18" s="29" t="n">
        <f aca="false">F18*$C$10</f>
        <v>62.070585481279</v>
      </c>
    </row>
    <row r="19" customFormat="false" ht="15.75" hidden="false" customHeight="false" outlineLevel="0" collapsed="false">
      <c r="B19" s="27" t="n">
        <v>6</v>
      </c>
      <c r="C19" s="28" t="n">
        <f aca="false">F18</f>
        <v>10345.0975802132</v>
      </c>
      <c r="D19" s="28" t="n">
        <f aca="false">$C$7</f>
        <v>1000</v>
      </c>
      <c r="E19" s="28" t="n">
        <f aca="false">(C19+D19)*$C$9</f>
        <v>96.4333294318119</v>
      </c>
      <c r="F19" s="28" t="n">
        <f aca="false">C19+D19+E19</f>
        <v>11441.530909645</v>
      </c>
      <c r="G19" s="28" t="n">
        <f aca="false">$C$6+(B19*$C$7)</f>
        <v>11000</v>
      </c>
      <c r="H19" s="29" t="n">
        <f aca="false">F19*$C$10</f>
        <v>68.6491854578698</v>
      </c>
    </row>
    <row r="20" customFormat="false" ht="15.75" hidden="false" customHeight="false" outlineLevel="0" collapsed="false">
      <c r="B20" s="27" t="n">
        <v>7</v>
      </c>
      <c r="C20" s="28" t="n">
        <f aca="false">F19</f>
        <v>11441.530909645</v>
      </c>
      <c r="D20" s="28" t="n">
        <f aca="false">$C$7</f>
        <v>1000</v>
      </c>
      <c r="E20" s="28" t="n">
        <f aca="false">(C20+D20)*$C$9</f>
        <v>105.753012731982</v>
      </c>
      <c r="F20" s="28" t="n">
        <f aca="false">C20+D20+E20</f>
        <v>12547.283922377</v>
      </c>
      <c r="G20" s="28" t="n">
        <f aca="false">$C$6+(B20*$C$7)</f>
        <v>12000</v>
      </c>
      <c r="H20" s="29" t="n">
        <f aca="false">F20*$C$10</f>
        <v>75.2837035342617</v>
      </c>
    </row>
    <row r="21" customFormat="false" ht="15.75" hidden="false" customHeight="false" outlineLevel="0" collapsed="false">
      <c r="B21" s="27" t="n">
        <v>8</v>
      </c>
      <c r="C21" s="28" t="n">
        <f aca="false">F20</f>
        <v>12547.283922377</v>
      </c>
      <c r="D21" s="28" t="n">
        <f aca="false">$C$7</f>
        <v>1000</v>
      </c>
      <c r="E21" s="28" t="n">
        <f aca="false">(C21+D21)*$C$9</f>
        <v>115.151913340204</v>
      </c>
      <c r="F21" s="28" t="n">
        <f aca="false">C21+D21+E21</f>
        <v>13662.4358357172</v>
      </c>
      <c r="G21" s="28" t="n">
        <f aca="false">$C$6+(B21*$C$7)</f>
        <v>13000</v>
      </c>
      <c r="H21" s="29" t="n">
        <f aca="false">F21*$C$10</f>
        <v>81.974615014303</v>
      </c>
    </row>
    <row r="22" customFormat="false" ht="15.75" hidden="false" customHeight="false" outlineLevel="0" collapsed="false">
      <c r="B22" s="27" t="n">
        <v>9</v>
      </c>
      <c r="C22" s="28" t="n">
        <f aca="false">F21</f>
        <v>13662.4358357172</v>
      </c>
      <c r="D22" s="28" t="n">
        <f aca="false">$C$7</f>
        <v>1000</v>
      </c>
      <c r="E22" s="28" t="n">
        <f aca="false">(C22+D22)*$C$9</f>
        <v>124.630704603596</v>
      </c>
      <c r="F22" s="28" t="n">
        <f aca="false">C22+D22+E22</f>
        <v>14787.0665403208</v>
      </c>
      <c r="G22" s="28" t="n">
        <f aca="false">$C$6+(B22*$C$7)</f>
        <v>14000</v>
      </c>
      <c r="H22" s="29" t="n">
        <f aca="false">F22*$C$10</f>
        <v>88.7223992419245</v>
      </c>
    </row>
    <row r="23" customFormat="false" ht="15.75" hidden="false" customHeight="false" outlineLevel="0" collapsed="false">
      <c r="B23" s="27" t="n">
        <v>10</v>
      </c>
      <c r="C23" s="28" t="n">
        <f aca="false">F22</f>
        <v>14787.0665403208</v>
      </c>
      <c r="D23" s="28" t="n">
        <f aca="false">$C$7</f>
        <v>1000</v>
      </c>
      <c r="E23" s="28" t="n">
        <f aca="false">(C23+D23)*$C$9</f>
        <v>134.190065592726</v>
      </c>
      <c r="F23" s="28" t="n">
        <f aca="false">C23+D23+E23</f>
        <v>15921.2566059135</v>
      </c>
      <c r="G23" s="28" t="n">
        <f aca="false">$C$6+(B23*$C$7)</f>
        <v>15000</v>
      </c>
      <c r="H23" s="29" t="n">
        <f aca="false">F23*$C$10</f>
        <v>95.5275396354809</v>
      </c>
    </row>
    <row r="24" customFormat="false" ht="15.75" hidden="false" customHeight="false" outlineLevel="0" collapsed="false">
      <c r="B24" s="27" t="n">
        <v>11</v>
      </c>
      <c r="C24" s="28" t="n">
        <f aca="false">F23</f>
        <v>15921.2566059135</v>
      </c>
      <c r="D24" s="28" t="n">
        <f aca="false">$C$7</f>
        <v>1000</v>
      </c>
      <c r="E24" s="28" t="n">
        <f aca="false">(C24+D24)*$C$9</f>
        <v>143.830681150265</v>
      </c>
      <c r="F24" s="28" t="n">
        <f aca="false">C24+D24+E24</f>
        <v>17065.0872870637</v>
      </c>
      <c r="G24" s="28" t="n">
        <f aca="false">$C$6+(B24*$C$7)</f>
        <v>16000</v>
      </c>
      <c r="H24" s="29" t="n">
        <f aca="false">F24*$C$10</f>
        <v>102.390523722382</v>
      </c>
    </row>
    <row r="25" customFormat="false" ht="15.75" hidden="false" customHeight="false" outlineLevel="0" collapsed="false">
      <c r="B25" s="27" t="n">
        <v>12</v>
      </c>
      <c r="C25" s="28" t="n">
        <f aca="false">F24</f>
        <v>17065.0872870637</v>
      </c>
      <c r="D25" s="28" t="n">
        <f aca="false">$C$7</f>
        <v>1000</v>
      </c>
      <c r="E25" s="28" t="n">
        <f aca="false">(C25+D25)*$C$9</f>
        <v>153.553241940042</v>
      </c>
      <c r="F25" s="28" t="n">
        <f aca="false">C25+D25+E25</f>
        <v>18218.6405290038</v>
      </c>
      <c r="G25" s="28" t="n">
        <f aca="false">$C$6+(B25*$C$7)</f>
        <v>17000</v>
      </c>
      <c r="H25" s="29" t="n">
        <f aca="false">F25*$C$10</f>
        <v>109.311843174023</v>
      </c>
    </row>
    <row r="26" customFormat="false" ht="15.75" hidden="false" customHeight="false" outlineLevel="0" collapsed="false">
      <c r="B26" s="27" t="n">
        <v>13</v>
      </c>
      <c r="C26" s="28" t="n">
        <f aca="false">F25</f>
        <v>18218.6405290038</v>
      </c>
      <c r="D26" s="28" t="n">
        <f aca="false">$C$7</f>
        <v>1000</v>
      </c>
      <c r="E26" s="28" t="n">
        <f aca="false">(C26+D26)*$C$9</f>
        <v>163.358444496532</v>
      </c>
      <c r="F26" s="28" t="n">
        <f aca="false">C26+D26+E26</f>
        <v>19381.9989735003</v>
      </c>
      <c r="G26" s="28" t="n">
        <f aca="false">$C$6+(B26*$C$7)</f>
        <v>18000</v>
      </c>
      <c r="H26" s="29" t="n">
        <f aca="false">F26*$C$10</f>
        <v>116.291993841002</v>
      </c>
    </row>
    <row r="27" customFormat="false" ht="15.75" hidden="false" customHeight="false" outlineLevel="0" collapsed="false">
      <c r="B27" s="27" t="n">
        <v>14</v>
      </c>
      <c r="C27" s="28" t="n">
        <f aca="false">F26</f>
        <v>19381.9989735003</v>
      </c>
      <c r="D27" s="28" t="n">
        <f aca="false">$C$7</f>
        <v>1000</v>
      </c>
      <c r="E27" s="28" t="n">
        <f aca="false">(C27+D27)*$C$9</f>
        <v>173.246991274753</v>
      </c>
      <c r="F27" s="28" t="n">
        <f aca="false">C27+D27+E27</f>
        <v>20555.2459647751</v>
      </c>
      <c r="G27" s="28" t="n">
        <f aca="false">$C$6+(B27*$C$7)</f>
        <v>19000</v>
      </c>
      <c r="H27" s="29" t="n">
        <f aca="false">F27*$C$10</f>
        <v>123.33147578865</v>
      </c>
    </row>
    <row r="28" customFormat="false" ht="15.75" hidden="false" customHeight="false" outlineLevel="0" collapsed="false">
      <c r="B28" s="27" t="n">
        <v>15</v>
      </c>
      <c r="C28" s="28" t="n">
        <f aca="false">F27</f>
        <v>20555.2459647751</v>
      </c>
      <c r="D28" s="28" t="n">
        <f aca="false">$C$7</f>
        <v>1000</v>
      </c>
      <c r="E28" s="28" t="n">
        <f aca="false">(C28+D28)*$C$9</f>
        <v>183.219590700588</v>
      </c>
      <c r="F28" s="28" t="n">
        <f aca="false">C28+D28+E28</f>
        <v>21738.4655554757</v>
      </c>
      <c r="G28" s="28" t="n">
        <f aca="false">$C$6+(B28*$C$7)</f>
        <v>20000</v>
      </c>
      <c r="H28" s="29" t="n">
        <f aca="false">F28*$C$10</f>
        <v>130.430793332854</v>
      </c>
    </row>
    <row r="29" customFormat="false" ht="15.75" hidden="false" customHeight="false" outlineLevel="0" collapsed="false">
      <c r="B29" s="27" t="n">
        <v>16</v>
      </c>
      <c r="C29" s="28" t="n">
        <f aca="false">F28</f>
        <v>21738.4655554757</v>
      </c>
      <c r="D29" s="28" t="n">
        <f aca="false">$C$7</f>
        <v>1000</v>
      </c>
      <c r="E29" s="28" t="n">
        <f aca="false">(C29+D29)*$C$9</f>
        <v>193.276957221543</v>
      </c>
      <c r="F29" s="28" t="n">
        <f aca="false">C29+D29+E29</f>
        <v>22931.7425126972</v>
      </c>
      <c r="G29" s="28" t="n">
        <f aca="false">$C$6+(B29*$C$7)</f>
        <v>21000</v>
      </c>
      <c r="H29" s="29" t="n">
        <f aca="false">F29*$C$10</f>
        <v>137.590455076183</v>
      </c>
    </row>
    <row r="30" customFormat="false" ht="15.75" hidden="false" customHeight="false" outlineLevel="0" collapsed="false">
      <c r="B30" s="27" t="n">
        <v>17</v>
      </c>
      <c r="C30" s="28" t="n">
        <f aca="false">F29</f>
        <v>22931.7425126972</v>
      </c>
      <c r="D30" s="28" t="n">
        <f aca="false">$C$7</f>
        <v>1000</v>
      </c>
      <c r="E30" s="28" t="n">
        <f aca="false">(C30+D30)*$C$9</f>
        <v>203.419811357926</v>
      </c>
      <c r="F30" s="28" t="n">
        <f aca="false">C30+D30+E30</f>
        <v>24135.1623240551</v>
      </c>
      <c r="G30" s="28" t="n">
        <f aca="false">$C$6+(B30*$C$7)</f>
        <v>22000</v>
      </c>
      <c r="H30" s="29" t="n">
        <f aca="false">F30*$C$10</f>
        <v>144.810973944331</v>
      </c>
      <c r="J30" s="4" t="s">
        <v>32</v>
      </c>
      <c r="K30" s="4"/>
      <c r="L30" s="4"/>
      <c r="M30" s="4"/>
      <c r="N30" s="4"/>
      <c r="O30" s="4"/>
      <c r="P30" s="4"/>
    </row>
    <row r="31" customFormat="false" ht="15.75" hidden="false" customHeight="false" outlineLevel="0" collapsed="false">
      <c r="B31" s="27" t="n">
        <v>18</v>
      </c>
      <c r="C31" s="28" t="n">
        <f aca="false">F30</f>
        <v>24135.1623240551</v>
      </c>
      <c r="D31" s="28" t="n">
        <f aca="false">$C$7</f>
        <v>1000</v>
      </c>
      <c r="E31" s="28" t="n">
        <f aca="false">(C31+D31)*$C$9</f>
        <v>213.648879754469</v>
      </c>
      <c r="F31" s="28" t="n">
        <f aca="false">C31+D31+E31</f>
        <v>25348.8112038096</v>
      </c>
      <c r="G31" s="28" t="n">
        <f aca="false">$C$6+(B31*$C$7)</f>
        <v>23000</v>
      </c>
      <c r="H31" s="29" t="n">
        <f aca="false">F31*$C$10</f>
        <v>152.092867222858</v>
      </c>
      <c r="J31" s="30" t="s">
        <v>33</v>
      </c>
      <c r="K31" s="30"/>
      <c r="L31" s="30"/>
      <c r="M31" s="30"/>
      <c r="N31" s="30"/>
      <c r="O31" s="30"/>
      <c r="P31" s="30"/>
    </row>
    <row r="32" customFormat="false" ht="15.75" hidden="false" customHeight="false" outlineLevel="0" collapsed="false">
      <c r="B32" s="27" t="n">
        <v>19</v>
      </c>
      <c r="C32" s="28" t="n">
        <f aca="false">F31</f>
        <v>25348.8112038096</v>
      </c>
      <c r="D32" s="28" t="n">
        <f aca="false">$C$7</f>
        <v>1000</v>
      </c>
      <c r="E32" s="28" t="n">
        <f aca="false">(C32+D32)*$C$9</f>
        <v>223.964895232382</v>
      </c>
      <c r="F32" s="28" t="n">
        <f aca="false">C32+D32+E32</f>
        <v>26572.776099042</v>
      </c>
      <c r="G32" s="28" t="n">
        <f aca="false">$C$6+(B32*$C$7)</f>
        <v>24000</v>
      </c>
      <c r="H32" s="29" t="n">
        <f aca="false">F32*$C$10</f>
        <v>159.436656594252</v>
      </c>
      <c r="J32" s="30" t="s">
        <v>34</v>
      </c>
      <c r="K32" s="30"/>
      <c r="L32" s="30"/>
      <c r="M32" s="30"/>
      <c r="N32" s="30"/>
      <c r="O32" s="30"/>
      <c r="P32" s="30"/>
    </row>
    <row r="33" customFormat="false" ht="15.75" hidden="false" customHeight="false" outlineLevel="0" collapsed="false">
      <c r="B33" s="27" t="n">
        <v>20</v>
      </c>
      <c r="C33" s="28" t="n">
        <f aca="false">F32</f>
        <v>26572.776099042</v>
      </c>
      <c r="D33" s="28" t="n">
        <f aca="false">$C$7</f>
        <v>1000</v>
      </c>
      <c r="E33" s="28" t="n">
        <f aca="false">(C33+D33)*$C$9</f>
        <v>234.368596841857</v>
      </c>
      <c r="F33" s="28" t="n">
        <f aca="false">C33+D33+E33</f>
        <v>27807.1446958838</v>
      </c>
      <c r="G33" s="28" t="n">
        <f aca="false">$C$6+(B33*$C$7)</f>
        <v>25000</v>
      </c>
      <c r="H33" s="29" t="n">
        <f aca="false">F33*$C$10</f>
        <v>166.842868175303</v>
      </c>
      <c r="J33" s="30" t="s">
        <v>35</v>
      </c>
      <c r="K33" s="30"/>
      <c r="L33" s="30"/>
      <c r="M33" s="30"/>
      <c r="N33" s="30"/>
      <c r="O33" s="30"/>
      <c r="P33" s="30"/>
    </row>
    <row r="34" customFormat="false" ht="15.75" hidden="false" customHeight="false" outlineLevel="0" collapsed="false">
      <c r="B34" s="27" t="n">
        <v>21</v>
      </c>
      <c r="C34" s="28" t="n">
        <f aca="false">F33</f>
        <v>27807.1446958838</v>
      </c>
      <c r="D34" s="28" t="n">
        <f aca="false">$C$7</f>
        <v>1000</v>
      </c>
      <c r="E34" s="28" t="n">
        <f aca="false">(C34+D34)*$C$9</f>
        <v>244.860729915013</v>
      </c>
      <c r="F34" s="28" t="n">
        <f aca="false">C34+D34+E34</f>
        <v>29052.0054257989</v>
      </c>
      <c r="G34" s="28" t="n">
        <f aca="false">$C$6+(B34*$C$7)</f>
        <v>26000</v>
      </c>
      <c r="H34" s="29" t="n">
        <f aca="false">F34*$C$10</f>
        <v>174.312032554793</v>
      </c>
      <c r="J34" s="30" t="s">
        <v>36</v>
      </c>
      <c r="K34" s="30"/>
      <c r="L34" s="30"/>
      <c r="M34" s="30"/>
      <c r="N34" s="30"/>
      <c r="O34" s="30"/>
      <c r="P34" s="30"/>
    </row>
    <row r="35" customFormat="false" ht="15.75" hidden="false" customHeight="false" outlineLevel="0" collapsed="false">
      <c r="B35" s="27" t="n">
        <v>22</v>
      </c>
      <c r="C35" s="28" t="n">
        <f aca="false">F34</f>
        <v>29052.0054257989</v>
      </c>
      <c r="D35" s="28" t="n">
        <f aca="false">$C$7</f>
        <v>1000</v>
      </c>
      <c r="E35" s="28" t="n">
        <f aca="false">(C35+D35)*$C$9</f>
        <v>255.44204611929</v>
      </c>
      <c r="F35" s="28" t="n">
        <f aca="false">C35+D35+E35</f>
        <v>30307.4474719181</v>
      </c>
      <c r="G35" s="28" t="n">
        <f aca="false">$C$6+(B35*$C$7)</f>
        <v>27000</v>
      </c>
      <c r="H35" s="29" t="n">
        <f aca="false">F35*$C$10</f>
        <v>181.844684831509</v>
      </c>
      <c r="J35" s="31" t="s">
        <v>37</v>
      </c>
      <c r="K35" s="31"/>
      <c r="L35" s="31"/>
      <c r="M35" s="31"/>
      <c r="N35" s="31"/>
      <c r="O35" s="31"/>
      <c r="P35" s="31"/>
    </row>
    <row r="36" customFormat="false" ht="15.75" hidden="false" customHeight="false" outlineLevel="0" collapsed="false">
      <c r="B36" s="27" t="n">
        <v>23</v>
      </c>
      <c r="C36" s="28" t="n">
        <f aca="false">F35</f>
        <v>30307.4474719181</v>
      </c>
      <c r="D36" s="28" t="n">
        <f aca="false">$C$7</f>
        <v>1000</v>
      </c>
      <c r="E36" s="28" t="n">
        <f aca="false">(C36+D36)*$C$9</f>
        <v>266.113303511304</v>
      </c>
      <c r="F36" s="28" t="n">
        <f aca="false">C36+D36+E36</f>
        <v>31573.5607754294</v>
      </c>
      <c r="G36" s="28" t="n">
        <f aca="false">$C$6+(B36*$C$7)</f>
        <v>28000</v>
      </c>
      <c r="H36" s="29" t="n">
        <f aca="false">F36*$C$10</f>
        <v>189.441364652577</v>
      </c>
    </row>
    <row r="37" customFormat="false" ht="15.75" hidden="false" customHeight="false" outlineLevel="0" collapsed="false">
      <c r="B37" s="27" t="n">
        <v>24</v>
      </c>
      <c r="C37" s="28" t="n">
        <f aca="false">F36</f>
        <v>31573.5607754294</v>
      </c>
      <c r="D37" s="28" t="n">
        <f aca="false">$C$7</f>
        <v>1000</v>
      </c>
      <c r="E37" s="28" t="n">
        <f aca="false">(C37+D37)*$C$9</f>
        <v>276.87526659115</v>
      </c>
      <c r="F37" s="28" t="n">
        <f aca="false">C37+D37+E37</f>
        <v>32850.4360420206</v>
      </c>
      <c r="G37" s="28" t="n">
        <f aca="false">$C$6+(B37*$C$7)</f>
        <v>29000</v>
      </c>
      <c r="H37" s="29" t="n">
        <f aca="false">F37*$C$10</f>
        <v>197.102616252124</v>
      </c>
    </row>
    <row r="38" customFormat="false" ht="15.75" hidden="false" customHeight="false" outlineLevel="0" collapsed="false">
      <c r="B38" s="27" t="n">
        <v>25</v>
      </c>
      <c r="C38" s="28" t="n">
        <f aca="false">F37</f>
        <v>32850.4360420206</v>
      </c>
      <c r="D38" s="28" t="n">
        <f aca="false">$C$7</f>
        <v>1000</v>
      </c>
      <c r="E38" s="28" t="n">
        <f aca="false">(C38+D38)*$C$9</f>
        <v>287.728706357175</v>
      </c>
      <c r="F38" s="28" t="n">
        <f aca="false">C38+D38+E38</f>
        <v>34138.1647483778</v>
      </c>
      <c r="G38" s="28" t="n">
        <f aca="false">$C$6+(B38*$C$7)</f>
        <v>30000</v>
      </c>
      <c r="H38" s="29" t="n">
        <f aca="false">F38*$C$10</f>
        <v>204.828988490267</v>
      </c>
    </row>
    <row r="39" customFormat="false" ht="15.75" hidden="false" customHeight="false" outlineLevel="0" collapsed="false">
      <c r="B39" s="27" t="n">
        <v>26</v>
      </c>
      <c r="C39" s="28" t="n">
        <f aca="false">F38</f>
        <v>34138.1647483778</v>
      </c>
      <c r="D39" s="28" t="n">
        <f aca="false">$C$7</f>
        <v>1000</v>
      </c>
      <c r="E39" s="28" t="n">
        <f aca="false">(C39+D39)*$C$9</f>
        <v>298.674400361211</v>
      </c>
      <c r="F39" s="28" t="n">
        <f aca="false">C39+D39+E39</f>
        <v>35436.839148739</v>
      </c>
      <c r="G39" s="28" t="n">
        <f aca="false">$C$6+(B39*$C$7)</f>
        <v>31000</v>
      </c>
      <c r="H39" s="29" t="n">
        <f aca="false">F39*$C$10</f>
        <v>212.621034892434</v>
      </c>
    </row>
    <row r="40" customFormat="false" ht="15.75" hidden="false" customHeight="false" outlineLevel="0" collapsed="false">
      <c r="B40" s="27" t="n">
        <v>27</v>
      </c>
      <c r="C40" s="28" t="n">
        <f aca="false">F39</f>
        <v>35436.839148739</v>
      </c>
      <c r="D40" s="28" t="n">
        <f aca="false">$C$7</f>
        <v>1000</v>
      </c>
      <c r="E40" s="28" t="n">
        <f aca="false">(C40+D40)*$C$9</f>
        <v>309.713132764281</v>
      </c>
      <c r="F40" s="28" t="n">
        <f aca="false">C40+D40+E40</f>
        <v>36746.5522815033</v>
      </c>
      <c r="G40" s="28" t="n">
        <f aca="false">$C$6+(B40*$C$7)</f>
        <v>32000</v>
      </c>
      <c r="H40" s="29" t="n">
        <f aca="false">F40*$C$10</f>
        <v>220.47931368902</v>
      </c>
    </row>
    <row r="41" customFormat="false" ht="15.75" hidden="false" customHeight="false" outlineLevel="0" collapsed="false">
      <c r="B41" s="27" t="n">
        <v>28</v>
      </c>
      <c r="C41" s="28" t="n">
        <f aca="false">F40</f>
        <v>36746.5522815033</v>
      </c>
      <c r="D41" s="28" t="n">
        <f aca="false">$C$7</f>
        <v>1000</v>
      </c>
      <c r="E41" s="28" t="n">
        <f aca="false">(C41+D41)*$C$9</f>
        <v>320.845694392778</v>
      </c>
      <c r="F41" s="28" t="n">
        <f aca="false">C41+D41+E41</f>
        <v>38067.397975896</v>
      </c>
      <c r="G41" s="28" t="n">
        <f aca="false">$C$6+(B41*$C$7)</f>
        <v>33000</v>
      </c>
      <c r="H41" s="29" t="n">
        <f aca="false">F41*$C$10</f>
        <v>228.404387855376</v>
      </c>
    </row>
    <row r="42" customFormat="false" ht="15.75" hidden="false" customHeight="false" outlineLevel="0" collapsed="false">
      <c r="B42" s="27" t="n">
        <v>29</v>
      </c>
      <c r="C42" s="28" t="n">
        <f aca="false">F41</f>
        <v>38067.397975896</v>
      </c>
      <c r="D42" s="28" t="n">
        <f aca="false">$C$7</f>
        <v>1000</v>
      </c>
      <c r="E42" s="28" t="n">
        <f aca="false">(C42+D42)*$C$9</f>
        <v>332.072882795116</v>
      </c>
      <c r="F42" s="28" t="n">
        <f aca="false">C42+D42+E42</f>
        <v>39399.4708586912</v>
      </c>
      <c r="G42" s="28" t="n">
        <f aca="false">$C$6+(B42*$C$7)</f>
        <v>34000</v>
      </c>
      <c r="H42" s="29" t="n">
        <f aca="false">F42*$C$10</f>
        <v>236.396825152147</v>
      </c>
    </row>
    <row r="43" customFormat="false" ht="15.75" hidden="false" customHeight="false" outlineLevel="0" collapsed="false">
      <c r="B43" s="32" t="n">
        <v>30</v>
      </c>
      <c r="C43" s="33" t="n">
        <f aca="false">F42</f>
        <v>39399.4708586912</v>
      </c>
      <c r="D43" s="33" t="n">
        <f aca="false">$C$7</f>
        <v>1000</v>
      </c>
      <c r="E43" s="33" t="n">
        <f aca="false">(C43+D43)*$C$9</f>
        <v>343.395502298875</v>
      </c>
      <c r="F43" s="33" t="n">
        <f aca="false">C43+D43+E43</f>
        <v>40742.86636099</v>
      </c>
      <c r="G43" s="33" t="n">
        <f aca="false">$C$6+(B43*$C$7)</f>
        <v>35000</v>
      </c>
      <c r="H43" s="34" t="n">
        <f aca="false">F43*$C$10</f>
        <v>244.45719816594</v>
      </c>
    </row>
  </sheetData>
  <mergeCells count="21">
    <mergeCell ref="B2:D2"/>
    <mergeCell ref="B3:D3"/>
    <mergeCell ref="B5:D5"/>
    <mergeCell ref="F5:G5"/>
    <mergeCell ref="J5:K5"/>
    <mergeCell ref="F6:G6"/>
    <mergeCell ref="J6:K6"/>
    <mergeCell ref="F7:G7"/>
    <mergeCell ref="J7:K7"/>
    <mergeCell ref="F9:G9"/>
    <mergeCell ref="H9:I9"/>
    <mergeCell ref="J9:K9"/>
    <mergeCell ref="F10:G10"/>
    <mergeCell ref="H10:I10"/>
    <mergeCell ref="J10:K10"/>
    <mergeCell ref="J30:P30"/>
    <mergeCell ref="J31:P31"/>
    <mergeCell ref="J32:P32"/>
    <mergeCell ref="J33:P33"/>
    <mergeCell ref="J34:P34"/>
    <mergeCell ref="J35:P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2026-09-05T20:21:28Z</dcterms:modified>
  <cp:revision>1</cp:revision>
  <dc:subject/>
  <dc:title/>
</cp:coreProperties>
</file>